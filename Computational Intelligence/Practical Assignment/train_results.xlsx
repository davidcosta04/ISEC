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d\Desktop\ISEC\3Ano\1Semestre\IC\TP\Meta3\"/>
    </mc:Choice>
  </mc:AlternateContent>
  <xr:revisionPtr revIDLastSave="0" documentId="13_ncr:1_{33BD14E6-16D8-412E-B7CD-0E9A67B54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<sst xmlns="http://schemas.openxmlformats.org/spreadsheetml/2006/main" count="39" uniqueCount="7">
  <si>
    <t>Metodo_Otimizacao</t>
  </si>
  <si>
    <t>Neuronios</t>
  </si>
  <si>
    <t>DropoutRate</t>
  </si>
  <si>
    <t>Acurácia de treino</t>
  </si>
  <si>
    <t>Acurácia de validação</t>
  </si>
  <si>
    <t>GridSearch</t>
  </si>
  <si>
    <t>PSO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</si>
</sst>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6" workbookViewId="0">
      <selection activeCell="A13" sqref="A13:E13"/>
    </sheetView>
  </sheetViews>
  <sheetFormatPr defaultRowHeight="14.4" x14ac:dyDescent="0.3"/>
  <cols>
    <col min="1" max="1" width="18.33203125" customWidth="1"/>
    <col min="2" max="2" width="22.44140625" customWidth="1"/>
    <col min="3" max="3" width="19.88671875" customWidth="1"/>
    <col min="4" max="4" width="29.6640625" customWidth="1"/>
    <col min="5" max="5" width="35.2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>
        <v>64</v>
      </c>
      <c r="C2" s="1">
        <v>0.2</v>
      </c>
      <c r="D2" s="1">
        <v>0.93911325931549072</v>
      </c>
      <c r="E2" s="1">
        <v>0.93333333730697632</v>
      </c>
    </row>
    <row r="3" spans="1:5" x14ac:dyDescent="0.3">
      <c r="A3" s="1" t="s">
        <v>5</v>
      </c>
      <c r="B3" s="1">
        <v>64</v>
      </c>
      <c r="C3" s="1">
        <v>0.3</v>
      </c>
      <c r="D3" s="1">
        <v>0.93238379000000005</v>
      </c>
      <c r="E3" s="1">
        <v>0.92657482000000002</v>
      </c>
    </row>
    <row r="4" spans="1:5" x14ac:dyDescent="0.3">
      <c r="A4" s="1" t="s">
        <v>5</v>
      </c>
      <c r="B4" s="1">
        <v>64</v>
      </c>
      <c r="C4" s="1">
        <v>0.4</v>
      </c>
      <c r="D4" s="1">
        <v>0.92836019999999997</v>
      </c>
      <c r="E4" s="1">
        <v>0.92048289999999999</v>
      </c>
    </row>
    <row r="5" spans="1:5" x14ac:dyDescent="0.3">
      <c r="A5" s="1" t="s">
        <v>5</v>
      </c>
      <c r="B5" s="1">
        <v>128</v>
      </c>
      <c r="C5" s="1">
        <v>0.2</v>
      </c>
      <c r="D5" s="1">
        <v>0.94473123550415039</v>
      </c>
      <c r="E5" s="4">
        <v>0.94199997186660767</v>
      </c>
    </row>
    <row r="6" spans="1:5" x14ac:dyDescent="0.3">
      <c r="A6" s="1" t="s">
        <v>5</v>
      </c>
      <c r="B6" s="1">
        <v>128</v>
      </c>
      <c r="C6" s="1">
        <v>0.3</v>
      </c>
      <c r="D6" s="1">
        <v>0.94915032099999996</v>
      </c>
      <c r="E6" s="1">
        <v>0.94066667556762695</v>
      </c>
    </row>
    <row r="7" spans="1:5" x14ac:dyDescent="0.3">
      <c r="A7" s="1" t="s">
        <v>5</v>
      </c>
      <c r="B7" s="1">
        <v>128</v>
      </c>
      <c r="C7" s="1">
        <v>0.4</v>
      </c>
      <c r="D7" s="1">
        <v>0.94531860683441205</v>
      </c>
      <c r="E7" s="1">
        <v>0.94210945130000001</v>
      </c>
    </row>
    <row r="8" spans="1:5" x14ac:dyDescent="0.3">
      <c r="A8" s="1" t="s">
        <v>5</v>
      </c>
      <c r="B8" s="1">
        <v>256</v>
      </c>
      <c r="C8" s="1">
        <v>0.2</v>
      </c>
      <c r="D8" s="1">
        <v>0.94867902994155895</v>
      </c>
      <c r="E8" s="3">
        <v>0.91530631255999995</v>
      </c>
    </row>
    <row r="9" spans="1:5" x14ac:dyDescent="0.3">
      <c r="A9" s="1" t="s">
        <v>5</v>
      </c>
      <c r="B9" s="1">
        <v>256</v>
      </c>
      <c r="C9" s="1">
        <v>0.3</v>
      </c>
      <c r="D9" s="1">
        <v>0.94936712000000001</v>
      </c>
      <c r="E9" s="3">
        <v>0.92810256000000002</v>
      </c>
    </row>
    <row r="10" spans="1:5" x14ac:dyDescent="0.3">
      <c r="A10" s="1" t="s">
        <v>5</v>
      </c>
      <c r="B10" s="1">
        <v>256</v>
      </c>
      <c r="C10" s="1">
        <v>0.4</v>
      </c>
      <c r="D10" s="1">
        <v>0.94712090000000004</v>
      </c>
      <c r="E10" s="3">
        <v>0.92603893000000004</v>
      </c>
    </row>
    <row r="11" spans="1:5" x14ac:dyDescent="0.3">
      <c r="A11" s="1" t="s">
        <v>6</v>
      </c>
      <c r="B11" s="1">
        <v>83</v>
      </c>
      <c r="C11" s="1">
        <v>0.38298970879740879</v>
      </c>
      <c r="D11" s="1">
        <v>0.94776797294616699</v>
      </c>
      <c r="E11" s="1">
        <f>-0.0759999752044678+1</f>
        <v>0.92400002479553223</v>
      </c>
    </row>
    <row r="12" spans="1:5" x14ac:dyDescent="0.3">
      <c r="A12" s="1" t="s">
        <v>6</v>
      </c>
      <c r="B12" s="1">
        <v>124</v>
      </c>
      <c r="C12" s="1">
        <v>0.32807516600263259</v>
      </c>
      <c r="D12" s="1">
        <v>0.9497418999671936</v>
      </c>
      <c r="E12" s="1">
        <f>-0.0659999847412109+1</f>
        <v>0.93400001525878906</v>
      </c>
    </row>
    <row r="13" spans="1:5" x14ac:dyDescent="0.3">
      <c r="A13" s="1" t="s">
        <v>6</v>
      </c>
      <c r="B13" s="1">
        <v>82</v>
      </c>
      <c r="C13" s="1">
        <v>0.37915934407772162</v>
      </c>
      <c r="D13" s="1">
        <v>0.94791984558105469</v>
      </c>
      <c r="E13" s="4">
        <f>-0.059333324432373+1</f>
        <v>0.94066667556762695</v>
      </c>
    </row>
    <row r="14" spans="1:5" x14ac:dyDescent="0.3">
      <c r="A14" s="1" t="s">
        <v>6</v>
      </c>
      <c r="B14" s="1">
        <v>85</v>
      </c>
      <c r="C14" s="1">
        <v>0.32444827684875682</v>
      </c>
      <c r="D14" s="1">
        <v>0.94731247425079346</v>
      </c>
      <c r="E14" s="1">
        <f>-0.0600000023841858+1</f>
        <v>0.93999999761581421</v>
      </c>
    </row>
    <row r="15" spans="1:5" x14ac:dyDescent="0.3">
      <c r="A15" s="1" t="s">
        <v>6</v>
      </c>
      <c r="B15" s="1">
        <v>104</v>
      </c>
      <c r="C15" s="1">
        <v>0.28887953397342331</v>
      </c>
      <c r="D15" s="1">
        <v>0.94260555505752563</v>
      </c>
      <c r="E15" s="1">
        <f>-0.0699999928474426+1</f>
        <v>0.93000000715255737</v>
      </c>
    </row>
    <row r="16" spans="1:5" x14ac:dyDescent="0.3">
      <c r="A16" s="1" t="s">
        <v>6</v>
      </c>
      <c r="B16" s="1">
        <v>83</v>
      </c>
      <c r="C16" s="1">
        <v>0.27713195166139171</v>
      </c>
      <c r="D16" s="1">
        <v>0.94518673419952393</v>
      </c>
      <c r="E16" s="1">
        <f>-0.0746666789054871+1</f>
        <v>0.92533332109451294</v>
      </c>
    </row>
    <row r="17" spans="1:5" x14ac:dyDescent="0.3">
      <c r="A17" s="1" t="s">
        <v>6</v>
      </c>
      <c r="B17" s="1">
        <v>116</v>
      </c>
      <c r="C17" s="1">
        <v>0.36048760082605719</v>
      </c>
      <c r="D17" s="1">
        <v>0.94579410552978516</v>
      </c>
      <c r="E17" s="1">
        <f>-0.0613333582878113+1</f>
        <v>0.93866664171218872</v>
      </c>
    </row>
    <row r="18" spans="1:5" x14ac:dyDescent="0.3">
      <c r="A18" s="1" t="s">
        <v>6</v>
      </c>
      <c r="B18" s="1">
        <v>82</v>
      </c>
      <c r="C18" s="1">
        <v>0.28427140290856978</v>
      </c>
      <c r="D18" s="1">
        <v>0.9482235312461853</v>
      </c>
      <c r="E18" s="1">
        <f>-0.0653333067893982+1</f>
        <v>0.93466669321060181</v>
      </c>
    </row>
    <row r="19" spans="1:5" x14ac:dyDescent="0.3">
      <c r="A19" s="1" t="s">
        <v>6</v>
      </c>
      <c r="B19" s="1">
        <v>85</v>
      </c>
      <c r="C19" s="1">
        <v>0.24540741310453951</v>
      </c>
      <c r="D19" s="1">
        <v>0.95004552602767944</v>
      </c>
      <c r="E19" s="1">
        <f>-0.0893333554267883+1</f>
        <v>0.91066664457321167</v>
      </c>
    </row>
    <row r="20" spans="1:5" x14ac:dyDescent="0.3">
      <c r="A20" s="1" t="s">
        <v>6</v>
      </c>
      <c r="B20" s="1">
        <v>97</v>
      </c>
      <c r="C20" s="1">
        <v>0.28937286293611031</v>
      </c>
      <c r="D20" s="1">
        <v>0.94275736808776855</v>
      </c>
      <c r="E20" s="1">
        <f>-0.096666693687439+1</f>
        <v>0.90333330631256104</v>
      </c>
    </row>
    <row r="21" spans="1:5" x14ac:dyDescent="0.3">
      <c r="A21" s="1" t="s">
        <v>6</v>
      </c>
      <c r="B21" s="1">
        <v>83</v>
      </c>
      <c r="C21" s="1">
        <v>0.29949694978667107</v>
      </c>
      <c r="D21" s="1">
        <v>0.94685697555541992</v>
      </c>
      <c r="E21" s="1">
        <f>-0.0640000104904175+1</f>
        <v>0.93599998950958252</v>
      </c>
    </row>
    <row r="22" spans="1:5" x14ac:dyDescent="0.3">
      <c r="A22" s="1" t="s">
        <v>6</v>
      </c>
      <c r="B22" s="1">
        <v>94</v>
      </c>
      <c r="C22" s="1">
        <v>0.39523352915219628</v>
      </c>
      <c r="D22" s="1">
        <v>0.94746434688568115</v>
      </c>
      <c r="E22" s="1">
        <f>-0.0746666789054871+1</f>
        <v>0.92533332109451294</v>
      </c>
    </row>
    <row r="23" spans="1:5" x14ac:dyDescent="0.3">
      <c r="A23" s="1" t="s">
        <v>6</v>
      </c>
      <c r="B23" s="1">
        <v>83</v>
      </c>
      <c r="C23" s="1">
        <v>0.23190012662919679</v>
      </c>
      <c r="D23" s="1">
        <v>0.94579410552978516</v>
      </c>
      <c r="E23" s="1">
        <f>-0.0619999766349792+1</f>
        <v>0.93800002336502075</v>
      </c>
    </row>
    <row r="24" spans="1:5" x14ac:dyDescent="0.3">
      <c r="A24" s="1" t="s">
        <v>6</v>
      </c>
      <c r="B24" s="1">
        <v>84</v>
      </c>
      <c r="C24" s="1">
        <v>0.21202871701999071</v>
      </c>
      <c r="D24" s="1">
        <v>0.94624960422515869</v>
      </c>
      <c r="E24" s="1">
        <f>-0.0786666870117187+1</f>
        <v>0.92133331298828125</v>
      </c>
    </row>
    <row r="25" spans="1:5" x14ac:dyDescent="0.3">
      <c r="A25" s="1" t="s">
        <v>6</v>
      </c>
      <c r="B25" s="1">
        <v>92</v>
      </c>
      <c r="C25" s="1">
        <v>0.25937890977876449</v>
      </c>
      <c r="D25" s="1">
        <v>0.94852715730667114</v>
      </c>
      <c r="E25" s="1">
        <f>-0.0633333325386047+1</f>
        <v>0.93666666746139526</v>
      </c>
    </row>
    <row r="26" spans="1:5" x14ac:dyDescent="0.3">
      <c r="A26" s="1" t="s">
        <v>6</v>
      </c>
      <c r="B26" s="1">
        <v>82</v>
      </c>
      <c r="C26" s="1">
        <v>0.24355803749896029</v>
      </c>
      <c r="D26" s="1">
        <v>0.94366836547851563</v>
      </c>
      <c r="E26" s="1">
        <f>-0.062666654586792+1</f>
        <v>0.93733334541320801</v>
      </c>
    </row>
    <row r="27" spans="1:5" x14ac:dyDescent="0.3">
      <c r="A27" s="1" t="s">
        <v>6</v>
      </c>
      <c r="B27" s="1">
        <v>77</v>
      </c>
      <c r="C27" s="1">
        <v>0.20918529305943179</v>
      </c>
      <c r="D27" s="1">
        <v>0.94336473941802979</v>
      </c>
      <c r="E27" s="1">
        <f>-0.0773333311080933+1</f>
        <v>0.92266666889190674</v>
      </c>
    </row>
    <row r="28" spans="1:5" x14ac:dyDescent="0.3">
      <c r="A28" s="1" t="s">
        <v>6</v>
      </c>
      <c r="B28" s="1">
        <v>82</v>
      </c>
      <c r="C28" s="1">
        <v>0.24420295922840479</v>
      </c>
      <c r="D28" s="1">
        <v>0.94366836547851563</v>
      </c>
      <c r="E28" s="1">
        <f>-0.0680000185966492+1</f>
        <v>0.93199998140335083</v>
      </c>
    </row>
    <row r="29" spans="1:5" x14ac:dyDescent="0.3">
      <c r="A29" s="1" t="s">
        <v>6</v>
      </c>
      <c r="B29" s="1">
        <v>83</v>
      </c>
      <c r="C29" s="1">
        <v>0.20640036546630769</v>
      </c>
      <c r="D29" s="1">
        <v>0.94624960422515869</v>
      </c>
      <c r="E29" s="1">
        <f>-0.0666666626930237+1</f>
        <v>0.93333333730697632</v>
      </c>
    </row>
    <row r="30" spans="1:5" x14ac:dyDescent="0.3">
      <c r="A30" s="1" t="s">
        <v>6</v>
      </c>
      <c r="B30" s="1">
        <v>86</v>
      </c>
      <c r="C30" s="1">
        <v>0.2106743940972913</v>
      </c>
      <c r="D30" s="1">
        <v>0.94473123550415039</v>
      </c>
      <c r="E30" s="1">
        <f>-0.078000009059906+1</f>
        <v>0.92199999094009399</v>
      </c>
    </row>
    <row r="31" spans="1:5" x14ac:dyDescent="0.3">
      <c r="A31" s="1" t="s">
        <v>6</v>
      </c>
      <c r="B31" s="1">
        <v>82</v>
      </c>
      <c r="C31" s="1">
        <v>0.35963072368819848</v>
      </c>
      <c r="D31" s="1">
        <v>0.94624960422515869</v>
      </c>
      <c r="E31" s="1">
        <f>-0.059333324432373+1</f>
        <v>0.94066667556762695</v>
      </c>
    </row>
    <row r="32" spans="1:5" x14ac:dyDescent="0.3">
      <c r="A32" s="1" t="s">
        <v>6</v>
      </c>
      <c r="B32" s="1">
        <v>80</v>
      </c>
      <c r="C32" s="1">
        <v>0.23889471385276609</v>
      </c>
      <c r="D32" s="1">
        <v>0.94640147686004639</v>
      </c>
      <c r="E32" s="1">
        <f>-0.0720000267028809+1</f>
        <v>0.92799997329711914</v>
      </c>
    </row>
    <row r="33" spans="1:5" x14ac:dyDescent="0.3">
      <c r="A33" s="1" t="s">
        <v>6</v>
      </c>
      <c r="B33" s="1">
        <v>82</v>
      </c>
      <c r="C33" s="1">
        <v>0.30977191173439322</v>
      </c>
      <c r="D33" s="1">
        <v>0.94791984558105469</v>
      </c>
      <c r="E33" s="1">
        <f>-0.0820000171661377+1</f>
        <v>0.9179999828338623</v>
      </c>
    </row>
    <row r="34" spans="1:5" x14ac:dyDescent="0.3">
      <c r="A34" s="1" t="s">
        <v>6</v>
      </c>
      <c r="B34" s="1">
        <v>81</v>
      </c>
      <c r="C34" s="1">
        <v>0.24260995492497101</v>
      </c>
      <c r="D34" s="1">
        <v>0.94473123550415039</v>
      </c>
      <c r="E34" s="1">
        <f>-0.0706666707992554+1</f>
        <v>0.92933332920074463</v>
      </c>
    </row>
    <row r="35" spans="1:5" x14ac:dyDescent="0.3">
      <c r="A35" s="1" t="s">
        <v>6</v>
      </c>
      <c r="B35" s="1">
        <v>83</v>
      </c>
      <c r="C35" s="1">
        <v>0.20820938030612809</v>
      </c>
      <c r="D35" s="1">
        <v>0.94533860683441162</v>
      </c>
      <c r="E35" s="1">
        <f>-0.062666654586792+1</f>
        <v>0.93733334541320801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José Santos Costa</cp:lastModifiedBy>
  <dcterms:created xsi:type="dcterms:W3CDTF">2025-12-13T10:03:33Z</dcterms:created>
  <dcterms:modified xsi:type="dcterms:W3CDTF">2025-12-14T01:33:13Z</dcterms:modified>
</cp:coreProperties>
</file>